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hclo365-my.sharepoint.com/personal/ashish-arora_hcltech_com/Documents/Work/TECHBEE_JFM25_SNOW_1/"/>
    </mc:Choice>
  </mc:AlternateContent>
  <xr:revisionPtr revIDLastSave="198" documentId="13_ncr:1_{F59D46BF-4DE8-499F-8CA6-FFED287E16DD}" xr6:coauthVersionLast="47" xr6:coauthVersionMax="47" xr10:uidLastSave="{4F6BBD7E-064C-45A3-A0B7-E24418851008}"/>
  <bookViews>
    <workbookView xWindow="-110" yWindow="-110" windowWidth="19420" windowHeight="10300" activeTab="3" xr2:uid="{00000000-000D-0000-FFFF-FFFF00000000}"/>
  </bookViews>
  <sheets>
    <sheet name="Summary" sheetId="3" r:id="rId1"/>
    <sheet name="ITE_TERM_3" sheetId="4" r:id="rId2"/>
    <sheet name="CRT_TERM_1" sheetId="6" r:id="rId3"/>
    <sheet name="CRT_TERM_2" sheetId="7"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3" l="1"/>
  <c r="F13" i="3"/>
  <c r="F12" i="3"/>
  <c r="F11" i="3"/>
  <c r="F9" i="3"/>
  <c r="F10" i="7"/>
  <c r="F5" i="7"/>
  <c r="F27" i="7"/>
  <c r="F8" i="3"/>
  <c r="F6" i="3"/>
  <c r="F5" i="3"/>
  <c r="F28" i="6"/>
  <c r="F6" i="6"/>
  <c r="F24" i="4"/>
  <c r="G14" i="3" l="1"/>
  <c r="G10" i="3"/>
  <c r="F69" i="4"/>
  <c r="F52" i="4"/>
  <c r="F30" i="4"/>
  <c r="F19" i="4"/>
  <c r="F6" i="4"/>
  <c r="F4" i="3" l="1"/>
  <c r="F15" i="3"/>
  <c r="G15" i="3"/>
</calcChain>
</file>

<file path=xl/sharedStrings.xml><?xml version="1.0" encoding="utf-8"?>
<sst xmlns="http://schemas.openxmlformats.org/spreadsheetml/2006/main" count="251" uniqueCount="118">
  <si>
    <t>Service Now Developer</t>
  </si>
  <si>
    <t>S.No.</t>
  </si>
  <si>
    <t>Term</t>
  </si>
  <si>
    <t>Modules</t>
  </si>
  <si>
    <t>ILT Duration (Hrs)</t>
  </si>
  <si>
    <t>ILT Duration (Days)</t>
  </si>
  <si>
    <t>ITE Term-2</t>
  </si>
  <si>
    <t>HTML &amp; CSS</t>
  </si>
  <si>
    <t>JavaScript</t>
  </si>
  <si>
    <t>ITIL</t>
  </si>
  <si>
    <t>Assessments (MCQ and Lab)</t>
  </si>
  <si>
    <t>CRT Term-1</t>
  </si>
  <si>
    <t>ES6/ES7 &amp; TypeScript</t>
  </si>
  <si>
    <t>Angular 14</t>
  </si>
  <si>
    <t>CRT Term-2</t>
  </si>
  <si>
    <t>Service Now Fundamentals</t>
  </si>
  <si>
    <t>ServiceNow Administration</t>
  </si>
  <si>
    <t>Total</t>
  </si>
  <si>
    <t>S.No</t>
  </si>
  <si>
    <t>Topics Covered</t>
  </si>
  <si>
    <t>Sub-Topic</t>
  </si>
  <si>
    <t>Duration (Hours)</t>
  </si>
  <si>
    <t xml:space="preserve">HTML 5.0 </t>
  </si>
  <si>
    <t>Introduction to HTML
Basic HTML document structure
HTML 5.0 Tags
NEW SEMANTIC ELEMENTS
FORMS IN HTML5
DESCRIBING STRUCTURED WEB PAGE
MULTIMEDIA IN HTML5</t>
  </si>
  <si>
    <t>CSS 3.0</t>
  </si>
  <si>
    <t>Features of CSS V2.1
CSS 3 – THE POWER OF CSS
INTRODUCING CSS3
SELECTORS AND PSEUDO CLASSES
FONTS AND TEXT EFFECTS
COLORS, GRADIENTS, BACKGROUND IMAGES, AND MASKS</t>
  </si>
  <si>
    <t>Total Hours</t>
  </si>
  <si>
    <t>JavaScript Fundamentals</t>
  </si>
  <si>
    <t xml:space="preserve">Code structure, The modern mode, "use strict", Variables, Data types, Interaction: alert, prompt, confirm,Type Conversions,Basic operators, maths,Comparisons,Conditional branching: if, '?', Logical operators, Nullish coalescing operator '??', Loops: while and for, The "switch" statement, Functions, Function expressions, Arrow functions, JavaScript specials </t>
  </si>
  <si>
    <t>Code Quality</t>
  </si>
  <si>
    <t>Debugging in Chrome, Coding Style, Comments, Ninja code, Automated testing with Jest( Mocha), Polyfills
(Object, Class, Abstraction, Encapsulation, Inheritence, Polymorphism)</t>
  </si>
  <si>
    <t>Objects: the basics</t>
  </si>
  <si>
    <t>Objects, Object copying, references, Garbage collection, Object methods, "this", Constructor, operator "new", Optional chaining '?.', Symbol type,Object to primitive conversion</t>
  </si>
  <si>
    <t>Data types</t>
  </si>
  <si>
    <t>Methods of primitives, Numbers, Strings, Arrays, Array methods, Iterables, Map and Set, WeakMap and WeakSet, Object.keys, values, entries, Destructuring assignment, Date and time, JSON methods, toJSON</t>
  </si>
  <si>
    <t>Advanced working with functions</t>
  </si>
  <si>
    <t>Recursion and stack, Rest parameters and spread syntax, Variable scope, The old "var", Global object, Function object, NFE, The "new Function" syntax, Scheduling: setTimeout and setInterval, Decorators and forwarding, call/apply, Function binding, Arrow functions revisited</t>
  </si>
  <si>
    <t>Object properties configuration</t>
  </si>
  <si>
    <t>Property flags and descriptors, Property getters and setters</t>
  </si>
  <si>
    <t>Prototypes, inheritance</t>
  </si>
  <si>
    <t>Prototypal inheritance, F.prototype, Native prototypes, Prototype methods, objects without __proto__</t>
  </si>
  <si>
    <t>Classess</t>
  </si>
  <si>
    <t>Class basic syntax, Class inheritance, Static properties and methods, Private and protected properties and methods, Extending built-in classes, Class checking: "instanceof",  Mixins</t>
  </si>
  <si>
    <t>Error Handling, Call Back, Promises, async/await</t>
  </si>
  <si>
    <t>Error handling, "try..catch", Custom errors, extending Error, Introduction: callbacks, Promise, Promises chaining, Error handling with promises, Promise API, Promisification, Microtasks, Async/await</t>
  </si>
  <si>
    <t>Service Management concepts
Characteristics of a process
RACI Matrix
Introduction to ITIL 3
Service Life cycle management
Key processess in Service Design
Service Level Manegement - Deep dive
Release &amp; Deployment management
Service Assest &amp; Configuration Management (SACM)
Change Management
Service Knowledge Management System 
Key processess in Service Operations
Incident Management - Deep dive
Problem life cycle 
Request Management
Introduction to ITIL 4
Key differences between ITIL 3 and ITL 4</t>
  </si>
  <si>
    <t>ESS &amp; TypeScript</t>
  </si>
  <si>
    <t>ES6/ES7</t>
  </si>
  <si>
    <t xml:space="preserve">Add actions, interactions, business logic using JavaScript (ES6/ ES7)	
Basic JavaScript functions, loops, operators, conditions	
OOPS concepts	
Create events, DOM manipulations, CSS styling using ES6	
design patterns, scopes, closure, modules		
Use promises, async/await and callbacks	</t>
  </si>
  <si>
    <t>TypeScript</t>
  </si>
  <si>
    <t xml:space="preserve">Add actions, interactions, business logic using TS/JSX	
Differentiate between Typescript and ES6 	
Basic Types-Type Annotation,Variables and datatypes,Type Inference,Number Type,String Type,Boolean Type,
Object Type,Array Type,Tuple Types,Enum Types,Any Type,Never Type,Union Types,Type Aliases,String Literal Types.
Control Flow Statements -if else,switch case,for,forEach,while,do while,break.
Functions-Function Types,Optional Parameters,Default Parameters,Rest Parameters,Function Overloadings,Arrow function
Classes-Access Modifiers,Readonly Properties,Inheritances,Static </t>
  </si>
  <si>
    <t>Angular Installation</t>
  </si>
  <si>
    <t>Web Application Architecture
Comparison between front-end tools
Introduction to Angular
SPA basics
Features of Angular
Angular Architecture
Building blocks of Angular
Angular Installation
Angular CLI
Angular CLI commands
Angular Modules
ECMAScript 6 Recap
Typescript Recap
Creating First Angular Application
Angular project Folder structure</t>
  </si>
  <si>
    <t>Angular Components</t>
  </si>
  <si>
    <t>Introduction to Angular Components
Data Binding in Angular
Interpolation in Angular
Property Binding in Angular
Event Binding in Angular
Two way Binding &amp; ngModel in Angular
ngModelChange &amp; Change Event
Adding Child Component in Angular</t>
  </si>
  <si>
    <t>Angular Directives</t>
  </si>
  <si>
    <t>Introduction to Angular Directives
ngFor 
ngSwitch
ngIf
ngClass
ngStyle
ngFor Trackby
Custom Directive</t>
  </si>
  <si>
    <t>Angular Pipes</t>
  </si>
  <si>
    <t xml:space="preserve">Introduction to Angular Pipes
Angular Custom Pipes
Date Pipe
Async Pipe
KeyValue Pipe
Using Pipes in Components &amp; Services
</t>
  </si>
  <si>
    <t>Angular Component Communication</t>
  </si>
  <si>
    <t>Introduction to Angular Component Communication
Passing data from Parent to child component 
Passing Data from Child to Parent Component</t>
  </si>
  <si>
    <t>Component Life Cycle Hook</t>
  </si>
  <si>
    <t>Component Life Cycle-Change detection Cycle,Constructor,ngOnChanges,ngOnInit,ngDoCheck,ngAfterContentInit,ngAfterContentChecked,ngAfterViewInit,ngAfterViewChecked,ngOnDestroy,How to Use Lifecycle Hooks,Import Hook interfaces,Component Implements lifecycle hook interface,Create the hook method,The Order of Execution of Life Cycle Hooks
OnInit &amp; OnDestroy
Onchanges
DoCheck</t>
  </si>
  <si>
    <t>Angular Forms</t>
  </si>
  <si>
    <t>Angular Forms Tutorial: Fundamental &amp; Concepts
Template Driven Forms in Angular
Set Value in Template Driven forms in Angular
Reactive Forms in Angular
FormBuilder in Reactive Forms
SetValue &amp; PatchValue in Angular
StatusChanges in Angular Forms</t>
  </si>
  <si>
    <t>ValueChanges in Angular Forms
FormControl
FormGroup
FormArray Example
Build Dynamic or Nested Forms using FormArray
SetValue &amp; PatchValue in FormArray
Select Options Dropdown</t>
  </si>
  <si>
    <t>Services &amp; Dependency Injection</t>
  </si>
  <si>
    <t>Introduction to Services
Dependency injection
Injector, @Injectable &amp; @Inject
Providers
Injection Token
Hierarchical Dependency Injection
Angular Singleton Service
@Self, @SkipSelf &amp; @Optional Decorators
@Host Decorator in Angular
ViewProviders</t>
  </si>
  <si>
    <t>Angular Forms Validation</t>
  </si>
  <si>
    <t>Validations in Reactive Forms in Angular
Custom Validator in Reactive Forms
Passing Parameter to Custom Validator in Reactive Forms
Inject Service into Custom Validator
Validation in Template Driven Forms
Custom Validator in Template Driven Forms
Angular Async Validator
Cross Field Validation
Adding Validators Using SetValidators</t>
  </si>
  <si>
    <t xml:space="preserve">HTTP </t>
  </si>
  <si>
    <t>Angular HTTP Client 
HTTP GET Example
HTTP POST Example
Passing URL Parameters (Query strings)
HTTP Headers Example
HTTP Interceptor</t>
  </si>
  <si>
    <t>Angular Router</t>
  </si>
  <si>
    <t>Routing and Navigation in Angular
Location Strategies in Angular Router
Passing Parameters to Route
Child Routes / Nested Routes
Passing Optional (Query) Parameters to a route
Navigation between Routes
Angular Route Guards</t>
  </si>
  <si>
    <t>CanActivate Guard
CanActivateChild Guard
CanDeactivate Guard
Angular Resolve Guard
Angular Pass data to route
RouterLinkActive
Router Events</t>
  </si>
  <si>
    <t>Angular Module</t>
  </si>
  <si>
    <t>Introduction to Angular Modules
Routing Between Angular Modules
Angular folder structure: Best Practices
Lazy Loading in Angular
Preloading Strategy
CanLoad Guard</t>
  </si>
  <si>
    <t>Observable in Angular</t>
  </si>
  <si>
    <t>Introduction to Angular Observable 
Create Observable from a string, array. object, collection
Observable from events using fromEvent
Observable pipe
Map Operator
Filter Operator
Tap Operator
SwitchMap
MergeMap
ConcatMap
ThrowError
CatchError
ReTry &amp; ReTryWhen</t>
  </si>
  <si>
    <t>Styling the Application</t>
  </si>
  <si>
    <t>Angular Global Styles
View Encapsulation
Style binding in Angular
Class Binding in Angular
Component Styles
How to Install &amp; Use Angular FontAwesome
How to Add Bootstrap to Angular</t>
  </si>
  <si>
    <t>Unit Testing Deployment</t>
  </si>
  <si>
    <t>Introduction to TDD &amp; BDD
What is a Unit Test?
Why Write Unit Tests?
Benefits of Unit Tests
Best Practices for creating Unit Tests
Unit Testing Frameworks
Automated Testing overview
Types of Tests present in Angular Application 
Introduction to Jasmine &amp; Karma 
Create new Angular application, check Karma configuration and run tests with npm test command
Create First Test Suite and Spec file in the Angular Application and run the test 
Built-In Matchers
Setup and Teardown
Running Jasmine Tests</t>
  </si>
  <si>
    <t>Jasmine &amp; Karma</t>
  </si>
  <si>
    <t>Implementation of the any Service with Jasmine Specification 
Testing the Service which has another service injected through Dependency Injection
Mocking the injected service using createSpyObj method and spy on the methods
Using BeforeEach setup method to structure the Angular Test Cases for avoiding Repetitive code
Write Test Case for the Angular Pipe using Isolated Unit Tests
Writing Isolated Unit Test Cases for an Angular Service
Create Posts Component and Post service for getting posts data
Create Spec file for Posts Component to do Isolated Unit Test for a component
Create Test Cases For Delete method in Posts Component with Isolated Unit Tests
Create Single Post Details Component using Input and Output Property</t>
  </si>
  <si>
    <t>ServiceNow scripting basics</t>
  </si>
  <si>
    <t>Introduction to ServiceNow scripting, environment, Mozilla Rhino,Client side/Server side/Mid Server scripting, Glide classes and Glide API</t>
  </si>
  <si>
    <t>Client side scripting</t>
  </si>
  <si>
    <t>Client side script events (onLoad, onChange, onSubmit &amp; onCellEdit), Client side glide classes, Client side APIs, GlideUser, GlideAjax, GlideForm, GlideDialogWindow and UI Policies</t>
  </si>
  <si>
    <t>Server side scripting</t>
  </si>
  <si>
    <t>Server side scripting basics, Business rules, Dot-Walking, Server side glide classes, Glide API, GlideRecord, GlideSystem, GlideAggregate, GlideDateTime, Script tracing/debugging, console debugger, Session Log, Log points, Script logs and Extending GlideAjax</t>
  </si>
  <si>
    <t>User Security</t>
  </si>
  <si>
    <t>Roles/Groups, Application/Module access control, Table access, g_user/gs security functions.</t>
  </si>
  <si>
    <t>Applicaiton Security</t>
  </si>
  <si>
    <t xml:space="preserve">Security settings, Access tracking, Restrict table, table access, webservice access, Allow configuration,  </t>
  </si>
  <si>
    <t>Flow Designer</t>
  </si>
  <si>
    <t>Create, edit &amp; delete flows, trigger, error handling and flow branches</t>
  </si>
  <si>
    <t>Scheduler and Notifications</t>
  </si>
  <si>
    <t>Scheduling scripts &amp; events scheduling. Create, preview and  manage notificaitons</t>
  </si>
  <si>
    <t>Application properties</t>
  </si>
  <si>
    <t>App properties, property category, create and manage properties</t>
  </si>
  <si>
    <t>Outbound REST Integrations</t>
  </si>
  <si>
    <t>Outbound REST- REST message, HTTP methods and endpoint response parsing.</t>
  </si>
  <si>
    <t>IntegrationHub</t>
  </si>
  <si>
    <t>IntegrationHub Spokes, Dynamic actions, connections, authentication and REST parsing</t>
  </si>
  <si>
    <t>Inbound REST Integrations</t>
  </si>
  <si>
    <t>Inbound REST- REST API, parameters, Service Now API request and response.</t>
  </si>
  <si>
    <t>Scripted Web Services</t>
  </si>
  <si>
    <t>Creating and managing scripted REST API, header, parameters, request, request body, versioning and analytics.</t>
  </si>
  <si>
    <t>Service Portal</t>
  </si>
  <si>
    <t>Service portal framework, create page, add widget, responsive pages and fixed/fluid containers.</t>
  </si>
  <si>
    <t>Service Now</t>
  </si>
  <si>
    <t>Introduction to ServiceNow: Overview of ServiceNow as an ITSM and BPA platform, its architecture, and core components.
ServiceNow User Interface (UI): Navigating the ServiceNow interface, understanding forms, lists, and modules.
Incident Management: Managing and resolving incidents using ServiceNow's incident management features.
Request Management: Handling service requests and fulfilling user requests through ServiceNow's request management capabilities.
Configuration Management Database (CMDB): Understanding CMDB concepts and using ServiceNow to manage configuration items.
Service Catalog: Building and configuring a service catalog to streamline service request fulfillment.</t>
  </si>
  <si>
    <t>Service Now Administration</t>
  </si>
  <si>
    <t>Remarks</t>
  </si>
  <si>
    <t>7 to 10</t>
  </si>
  <si>
    <t>19-20 May</t>
  </si>
  <si>
    <t>5/15/2025- creator studio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</si>
</sst>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0000"/>
      <name val="Calibri"/>
      <family val="2"/>
    </font>
    <font>
      <b/>
      <sz val="16"/>
      <color theme="0"/>
      <name val="Calibri"/>
      <family val="2"/>
      <scheme val="minor"/>
    </font>
    <font>
      <b/>
      <sz val="11"/>
      <color rgb="FF000000"/>
      <name val="Calibri"/>
      <family val="2"/>
      <scheme val="minor"/>
    </font>
    <font>
      <sz val="11"/>
      <color rgb="FF000000"/>
      <name val="Calibri"/>
      <family val="2"/>
      <scheme val="minor"/>
    </font>
    <font>
      <b/>
      <sz val="11"/>
      <color rgb="FFFFFFFF"/>
      <name val="Calibri"/>
      <family val="2"/>
      <scheme val="minor"/>
    </font>
    <font>
      <b/>
      <sz val="16"/>
      <color rgb="FFFFFFFF"/>
      <name val="Calibri"/>
      <family val="2"/>
      <scheme val="minor"/>
    </font>
  </fonts>
  <fills count="10">
    <fill>
      <patternFill patternType="none"/>
    </fill>
    <fill>
      <patternFill patternType="gray125"/>
    </fill>
    <fill>
      <patternFill patternType="solid">
        <fgColor rgb="FF002060"/>
        <bgColor indexed="64"/>
      </patternFill>
    </fill>
    <fill>
      <patternFill patternType="solid">
        <fgColor rgb="FF203764"/>
        <bgColor indexed="64"/>
      </patternFill>
    </fill>
    <fill>
      <patternFill patternType="solid">
        <fgColor theme="4" tint="-0.499984740745262"/>
        <bgColor indexed="64"/>
      </patternFill>
    </fill>
    <fill>
      <patternFill patternType="solid">
        <fgColor rgb="FFFFC000"/>
        <bgColor rgb="FF000000"/>
      </patternFill>
    </fill>
    <fill>
      <patternFill patternType="solid">
        <fgColor rgb="FF215967"/>
        <bgColor rgb="FF000000"/>
      </patternFill>
    </fill>
    <fill>
      <patternFill patternType="solid">
        <fgColor rgb="FFFFFF00"/>
        <bgColor rgb="FF000000"/>
      </patternFill>
    </fill>
    <fill>
      <patternFill patternType="solid">
        <fgColor rgb="FFFFFF00"/>
        <bgColor indexed="64"/>
      </patternFill>
    </fill>
    <fill>
      <patternFill patternType="solid">
        <fgColor theme="5"/>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rgb="FF0070C0"/>
      </top>
      <bottom style="thin">
        <color rgb="FF0070C0"/>
      </bottom>
      <diagonal/>
    </border>
    <border>
      <left style="thin">
        <color indexed="64"/>
      </left>
      <right style="thin">
        <color indexed="64"/>
      </right>
      <top/>
      <bottom/>
      <diagonal/>
    </border>
  </borders>
  <cellStyleXfs count="1">
    <xf numFmtId="0" fontId="0" fillId="0" borderId="0"/>
  </cellStyleXfs>
  <cellXfs count="35">
    <xf numFmtId="0" fontId="0" fillId="0" borderId="0" xfId="0"/>
    <xf numFmtId="0" fontId="3" fillId="5" borderId="2" xfId="0" applyFont="1" applyFill="1" applyBorder="1" applyAlignment="1">
      <alignment horizontal="center" vertical="center" wrapText="1"/>
    </xf>
    <xf numFmtId="0" fontId="4" fillId="0" borderId="2" xfId="0" applyFont="1" applyBorder="1" applyAlignment="1">
      <alignment horizontal="center" vertical="center"/>
    </xf>
    <xf numFmtId="0" fontId="0" fillId="0" borderId="2" xfId="0" applyBorder="1" applyAlignment="1">
      <alignment horizontal="center" vertical="center"/>
    </xf>
    <xf numFmtId="0" fontId="5" fillId="3" borderId="2" xfId="0" applyFont="1" applyFill="1" applyBorder="1" applyAlignment="1">
      <alignment horizontal="center" vertical="center"/>
    </xf>
    <xf numFmtId="0" fontId="5" fillId="3" borderId="2" xfId="0" applyFont="1" applyFill="1" applyBorder="1" applyAlignment="1">
      <alignment horizontal="center" vertical="center" wrapText="1"/>
    </xf>
    <xf numFmtId="0" fontId="0" fillId="0" borderId="2" xfId="0" applyBorder="1" applyAlignment="1">
      <alignment vertical="center" wrapText="1"/>
    </xf>
    <xf numFmtId="0" fontId="2" fillId="4" borderId="2" xfId="0" applyFont="1" applyFill="1" applyBorder="1" applyAlignment="1">
      <alignment horizontal="center"/>
    </xf>
    <xf numFmtId="0" fontId="4" fillId="0" borderId="5" xfId="0" applyFont="1" applyBorder="1"/>
    <xf numFmtId="0" fontId="1" fillId="0" borderId="8" xfId="0" applyFont="1" applyBorder="1" applyAlignment="1">
      <alignment vertical="center" wrapText="1"/>
    </xf>
    <xf numFmtId="0" fontId="0" fillId="0" borderId="2" xfId="0" applyBorder="1" applyAlignment="1">
      <alignment horizontal="center"/>
    </xf>
    <xf numFmtId="0" fontId="2" fillId="4" borderId="0" xfId="0" applyFont="1" applyFill="1" applyAlignment="1">
      <alignment horizontal="center"/>
    </xf>
    <xf numFmtId="0" fontId="4" fillId="7" borderId="5" xfId="0" applyFont="1" applyFill="1" applyBorder="1"/>
    <xf numFmtId="0" fontId="0" fillId="8" borderId="2" xfId="0" applyFill="1" applyBorder="1" applyAlignment="1">
      <alignment horizontal="center"/>
    </xf>
    <xf numFmtId="0" fontId="0" fillId="9" borderId="2" xfId="0" applyFill="1" applyBorder="1" applyAlignment="1">
      <alignment horizontal="center" vertical="center"/>
    </xf>
    <xf numFmtId="0" fontId="0" fillId="9" borderId="2" xfId="0" applyFill="1" applyBorder="1" applyAlignment="1">
      <alignment vertical="center" wrapText="1"/>
    </xf>
    <xf numFmtId="0" fontId="4" fillId="9" borderId="2" xfId="0" applyFont="1" applyFill="1" applyBorder="1" applyAlignment="1">
      <alignment horizontal="center" vertical="center"/>
    </xf>
    <xf numFmtId="0" fontId="0" fillId="0" borderId="2" xfId="0" applyBorder="1"/>
    <xf numFmtId="0" fontId="2" fillId="4" borderId="1" xfId="0" applyFont="1" applyFill="1" applyBorder="1" applyAlignment="1">
      <alignment horizontal="center"/>
    </xf>
    <xf numFmtId="0" fontId="4" fillId="0" borderId="6" xfId="0" applyFont="1" applyBorder="1" applyAlignment="1">
      <alignment horizontal="center" vertical="center" wrapText="1"/>
    </xf>
    <xf numFmtId="0" fontId="4" fillId="0" borderId="9" xfId="0" applyFont="1" applyBorder="1" applyAlignment="1">
      <alignment horizontal="center" vertical="center" wrapText="1"/>
    </xf>
    <xf numFmtId="0" fontId="4" fillId="0" borderId="7" xfId="0" applyFont="1" applyBorder="1" applyAlignment="1">
      <alignment horizontal="center" vertical="center" wrapText="1"/>
    </xf>
    <xf numFmtId="0" fontId="5" fillId="6" borderId="3"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4"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4" xfId="0" applyFont="1" applyFill="1" applyBorder="1" applyAlignment="1">
      <alignment horizontal="center" vertical="center"/>
    </xf>
    <xf numFmtId="0" fontId="2" fillId="4" borderId="3"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6" fillId="2" borderId="2" xfId="0" applyFont="1" applyFill="1" applyBorder="1" applyAlignment="1">
      <alignment horizontal="center" vertical="center"/>
    </xf>
    <xf numFmtId="0" fontId="2" fillId="4" borderId="2" xfId="0" applyFont="1" applyFill="1" applyBorder="1" applyAlignment="1">
      <alignment horizontal="center" vertical="center" wrapText="1"/>
    </xf>
    <xf numFmtId="16" fontId="0" fillId="0" borderId="2" xfId="0" applyNumberFormat="1" applyBorder="1" applyAlignment="1">
      <alignment wrapText="1"/>
    </xf>
    <xf numFmtId="16" fontId="0" fillId="0" borderId="2"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E37CC-4674-463B-8A4A-A3B9EC090DB1}">
  <dimension ref="C2:I15"/>
  <sheetViews>
    <sheetView workbookViewId="0">
      <selection activeCell="E13" sqref="E13"/>
    </sheetView>
  </sheetViews>
  <sheetFormatPr defaultRowHeight="14.5" x14ac:dyDescent="0.35"/>
  <cols>
    <col min="4" max="4" width="11.453125" customWidth="1"/>
    <col min="5" max="5" width="40.1796875" customWidth="1"/>
  </cols>
  <sheetData>
    <row r="2" spans="3:9" ht="21" x14ac:dyDescent="0.5">
      <c r="C2" s="18" t="s">
        <v>0</v>
      </c>
      <c r="D2" s="18"/>
      <c r="E2" s="18"/>
      <c r="F2" s="18"/>
      <c r="G2" s="11"/>
    </row>
    <row r="3" spans="3:9" ht="43.5" x14ac:dyDescent="0.35">
      <c r="C3" s="1" t="s">
        <v>1</v>
      </c>
      <c r="D3" s="1" t="s">
        <v>2</v>
      </c>
      <c r="E3" s="1" t="s">
        <v>3</v>
      </c>
      <c r="F3" s="1" t="s">
        <v>4</v>
      </c>
      <c r="G3" s="1" t="s">
        <v>5</v>
      </c>
    </row>
    <row r="4" spans="3:9" x14ac:dyDescent="0.35">
      <c r="C4" s="2">
        <v>1</v>
      </c>
      <c r="D4" s="19" t="s">
        <v>6</v>
      </c>
      <c r="E4" s="8" t="s">
        <v>7</v>
      </c>
      <c r="F4" s="10">
        <f>G4*6</f>
        <v>18</v>
      </c>
      <c r="G4" s="10">
        <v>3</v>
      </c>
    </row>
    <row r="5" spans="3:9" x14ac:dyDescent="0.35">
      <c r="C5" s="2">
        <v>2</v>
      </c>
      <c r="D5" s="20"/>
      <c r="E5" s="8" t="s">
        <v>8</v>
      </c>
      <c r="F5" s="10">
        <f t="shared" ref="F5:F13" si="0">G5*6</f>
        <v>30</v>
      </c>
      <c r="G5" s="10">
        <v>5</v>
      </c>
    </row>
    <row r="6" spans="3:9" x14ac:dyDescent="0.35">
      <c r="C6" s="2">
        <v>3</v>
      </c>
      <c r="D6" s="20"/>
      <c r="E6" s="8" t="s">
        <v>9</v>
      </c>
      <c r="F6" s="10">
        <f t="shared" si="0"/>
        <v>24</v>
      </c>
      <c r="G6" s="10">
        <v>4</v>
      </c>
    </row>
    <row r="7" spans="3:9" x14ac:dyDescent="0.35">
      <c r="C7" s="2">
        <v>4</v>
      </c>
      <c r="D7" s="21"/>
      <c r="E7" s="12" t="s">
        <v>10</v>
      </c>
      <c r="F7" s="13">
        <v>12</v>
      </c>
      <c r="G7" s="13">
        <v>2</v>
      </c>
    </row>
    <row r="8" spans="3:9" x14ac:dyDescent="0.35">
      <c r="C8" s="2">
        <v>5</v>
      </c>
      <c r="D8" s="19" t="s">
        <v>11</v>
      </c>
      <c r="E8" s="8" t="s">
        <v>12</v>
      </c>
      <c r="F8" s="10">
        <f t="shared" si="0"/>
        <v>12</v>
      </c>
      <c r="G8" s="10">
        <v>2</v>
      </c>
    </row>
    <row r="9" spans="3:9" x14ac:dyDescent="0.35">
      <c r="C9" s="2">
        <v>6</v>
      </c>
      <c r="D9" s="20"/>
      <c r="E9" s="9" t="s">
        <v>13</v>
      </c>
      <c r="F9" s="10">
        <f t="shared" si="0"/>
        <v>84</v>
      </c>
      <c r="G9" s="10">
        <v>14</v>
      </c>
      <c r="I9">
        <f>7*6</f>
        <v>42</v>
      </c>
    </row>
    <row r="10" spans="3:9" x14ac:dyDescent="0.35">
      <c r="C10" s="2">
        <v>7</v>
      </c>
      <c r="D10" s="21"/>
      <c r="E10" s="12" t="s">
        <v>10</v>
      </c>
      <c r="F10" s="13">
        <v>12</v>
      </c>
      <c r="G10" s="13">
        <f>F10/6</f>
        <v>2</v>
      </c>
    </row>
    <row r="11" spans="3:9" x14ac:dyDescent="0.35">
      <c r="C11" s="2">
        <v>8</v>
      </c>
      <c r="D11" s="19" t="s">
        <v>14</v>
      </c>
      <c r="E11" s="9" t="s">
        <v>15</v>
      </c>
      <c r="F11" s="10">
        <f t="shared" si="0"/>
        <v>18</v>
      </c>
      <c r="G11" s="10">
        <v>3</v>
      </c>
    </row>
    <row r="12" spans="3:9" x14ac:dyDescent="0.35">
      <c r="C12" s="2">
        <v>9</v>
      </c>
      <c r="D12" s="20"/>
      <c r="E12" s="9" t="s">
        <v>16</v>
      </c>
      <c r="F12" s="10">
        <f t="shared" si="0"/>
        <v>12</v>
      </c>
      <c r="G12" s="10">
        <v>2</v>
      </c>
    </row>
    <row r="13" spans="3:9" x14ac:dyDescent="0.35">
      <c r="C13" s="2">
        <v>10</v>
      </c>
      <c r="D13" s="20"/>
      <c r="E13" s="8" t="s">
        <v>0</v>
      </c>
      <c r="F13" s="10">
        <f t="shared" si="0"/>
        <v>66</v>
      </c>
      <c r="G13" s="10">
        <v>11</v>
      </c>
    </row>
    <row r="14" spans="3:9" x14ac:dyDescent="0.35">
      <c r="C14" s="2">
        <v>11</v>
      </c>
      <c r="D14" s="21"/>
      <c r="E14" s="12" t="s">
        <v>10</v>
      </c>
      <c r="F14" s="13">
        <v>12</v>
      </c>
      <c r="G14" s="13">
        <f t="shared" ref="G14" si="1">F14/6</f>
        <v>2</v>
      </c>
    </row>
    <row r="15" spans="3:9" x14ac:dyDescent="0.35">
      <c r="C15" s="22" t="s">
        <v>17</v>
      </c>
      <c r="D15" s="23"/>
      <c r="E15" s="24"/>
      <c r="F15" s="10">
        <f>SUM(F4:F14)</f>
        <v>300</v>
      </c>
      <c r="G15" s="10">
        <f>SUM(G4:G14)</f>
        <v>50</v>
      </c>
    </row>
  </sheetData>
  <mergeCells count="5">
    <mergeCell ref="C2:F2"/>
    <mergeCell ref="D4:D7"/>
    <mergeCell ref="D8:D10"/>
    <mergeCell ref="C15:E15"/>
    <mergeCell ref="D11:D1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91498-B63C-43D0-9E90-89A3C9E0AC36}">
  <dimension ref="C2:F69"/>
  <sheetViews>
    <sheetView topLeftCell="A17" workbookViewId="0">
      <selection activeCell="E4" sqref="E4"/>
    </sheetView>
  </sheetViews>
  <sheetFormatPr defaultRowHeight="14.5" x14ac:dyDescent="0.35"/>
  <cols>
    <col min="3" max="3" width="4.7265625" customWidth="1"/>
    <col min="4" max="4" width="13.26953125" customWidth="1"/>
    <col min="5" max="5" width="49.7265625" customWidth="1"/>
  </cols>
  <sheetData>
    <row r="2" spans="3:6" ht="21" x14ac:dyDescent="0.35">
      <c r="C2" s="25" t="s">
        <v>7</v>
      </c>
      <c r="D2" s="26"/>
      <c r="E2" s="26"/>
      <c r="F2" s="27"/>
    </row>
    <row r="3" spans="3:6" ht="29" x14ac:dyDescent="0.35">
      <c r="C3" s="4" t="s">
        <v>18</v>
      </c>
      <c r="D3" s="5" t="s">
        <v>19</v>
      </c>
      <c r="E3" s="5" t="s">
        <v>20</v>
      </c>
      <c r="F3" s="5" t="s">
        <v>21</v>
      </c>
    </row>
    <row r="4" spans="3:6" ht="101.5" x14ac:dyDescent="0.35">
      <c r="C4" s="3">
        <v>1</v>
      </c>
      <c r="D4" s="6" t="s">
        <v>22</v>
      </c>
      <c r="E4" s="6" t="s">
        <v>23</v>
      </c>
      <c r="F4" s="2">
        <v>9</v>
      </c>
    </row>
    <row r="5" spans="3:6" ht="87" x14ac:dyDescent="0.35">
      <c r="C5" s="3">
        <v>2</v>
      </c>
      <c r="D5" s="6" t="s">
        <v>24</v>
      </c>
      <c r="E5" s="6" t="s">
        <v>25</v>
      </c>
      <c r="F5" s="2">
        <v>9</v>
      </c>
    </row>
    <row r="6" spans="3:6" ht="21" x14ac:dyDescent="0.5">
      <c r="C6" s="28" t="s">
        <v>26</v>
      </c>
      <c r="D6" s="29"/>
      <c r="E6" s="30"/>
      <c r="F6" s="7">
        <f>SUM(F4:F5)</f>
        <v>18</v>
      </c>
    </row>
    <row r="8" spans="3:6" ht="21" x14ac:dyDescent="0.35">
      <c r="C8" s="25" t="s">
        <v>8</v>
      </c>
      <c r="D8" s="26"/>
      <c r="E8" s="26"/>
      <c r="F8" s="27"/>
    </row>
    <row r="9" spans="3:6" ht="29" x14ac:dyDescent="0.35">
      <c r="C9" s="4" t="s">
        <v>18</v>
      </c>
      <c r="D9" s="5" t="s">
        <v>19</v>
      </c>
      <c r="E9" s="5" t="s">
        <v>20</v>
      </c>
      <c r="F9" s="5" t="s">
        <v>21</v>
      </c>
    </row>
    <row r="10" spans="3:6" ht="101.5" x14ac:dyDescent="0.35">
      <c r="C10" s="3">
        <v>1</v>
      </c>
      <c r="D10" s="6" t="s">
        <v>27</v>
      </c>
      <c r="E10" s="6" t="s">
        <v>28</v>
      </c>
      <c r="F10" s="2">
        <v>8</v>
      </c>
    </row>
    <row r="11" spans="3:6" ht="58" x14ac:dyDescent="0.35">
      <c r="C11" s="3">
        <v>2</v>
      </c>
      <c r="D11" s="6" t="s">
        <v>29</v>
      </c>
      <c r="E11" s="6" t="s">
        <v>30</v>
      </c>
      <c r="F11" s="2">
        <v>2</v>
      </c>
    </row>
    <row r="12" spans="3:6" ht="58" x14ac:dyDescent="0.35">
      <c r="C12" s="3">
        <v>3</v>
      </c>
      <c r="D12" s="6" t="s">
        <v>31</v>
      </c>
      <c r="E12" s="6" t="s">
        <v>32</v>
      </c>
      <c r="F12" s="2">
        <v>2</v>
      </c>
    </row>
    <row r="13" spans="3:6" ht="58" x14ac:dyDescent="0.35">
      <c r="C13" s="3">
        <v>4</v>
      </c>
      <c r="D13" s="6" t="s">
        <v>33</v>
      </c>
      <c r="E13" s="6" t="s">
        <v>34</v>
      </c>
      <c r="F13" s="2">
        <v>4</v>
      </c>
    </row>
    <row r="14" spans="3:6" ht="72.5" x14ac:dyDescent="0.35">
      <c r="C14" s="3">
        <v>5</v>
      </c>
      <c r="D14" s="6" t="s">
        <v>35</v>
      </c>
      <c r="E14" s="6" t="s">
        <v>36</v>
      </c>
      <c r="F14" s="2">
        <v>4</v>
      </c>
    </row>
    <row r="15" spans="3:6" ht="43.5" x14ac:dyDescent="0.35">
      <c r="C15" s="3">
        <v>6</v>
      </c>
      <c r="D15" s="6" t="s">
        <v>37</v>
      </c>
      <c r="E15" s="6" t="s">
        <v>38</v>
      </c>
      <c r="F15" s="2">
        <v>2</v>
      </c>
    </row>
    <row r="16" spans="3:6" ht="29" x14ac:dyDescent="0.35">
      <c r="C16" s="3">
        <v>7</v>
      </c>
      <c r="D16" s="6" t="s">
        <v>39</v>
      </c>
      <c r="E16" s="6" t="s">
        <v>40</v>
      </c>
      <c r="F16" s="2">
        <v>2</v>
      </c>
    </row>
    <row r="17" spans="3:6" ht="58" x14ac:dyDescent="0.35">
      <c r="C17" s="3">
        <v>8</v>
      </c>
      <c r="D17" s="6" t="s">
        <v>41</v>
      </c>
      <c r="E17" s="6" t="s">
        <v>42</v>
      </c>
      <c r="F17" s="2">
        <v>3</v>
      </c>
    </row>
    <row r="18" spans="3:6" ht="72.5" x14ac:dyDescent="0.35">
      <c r="C18" s="3">
        <v>9</v>
      </c>
      <c r="D18" s="6" t="s">
        <v>43</v>
      </c>
      <c r="E18" s="6" t="s">
        <v>44</v>
      </c>
      <c r="F18" s="2">
        <v>3</v>
      </c>
    </row>
    <row r="19" spans="3:6" ht="21" x14ac:dyDescent="0.5">
      <c r="C19" s="28" t="s">
        <v>26</v>
      </c>
      <c r="D19" s="29"/>
      <c r="E19" s="30"/>
      <c r="F19" s="7">
        <f>SUM(F10:F18)</f>
        <v>30</v>
      </c>
    </row>
    <row r="21" spans="3:6" ht="21" x14ac:dyDescent="0.35">
      <c r="C21" s="31" t="s">
        <v>9</v>
      </c>
      <c r="D21" s="31"/>
      <c r="E21" s="31"/>
      <c r="F21" s="31"/>
    </row>
    <row r="22" spans="3:6" ht="29" x14ac:dyDescent="0.35">
      <c r="C22" s="4" t="s">
        <v>1</v>
      </c>
      <c r="D22" s="5" t="s">
        <v>19</v>
      </c>
      <c r="E22" s="5" t="s">
        <v>20</v>
      </c>
      <c r="F22" s="5" t="s">
        <v>21</v>
      </c>
    </row>
    <row r="23" spans="3:6" ht="246.5" x14ac:dyDescent="0.35">
      <c r="C23" s="3">
        <v>1</v>
      </c>
      <c r="D23" s="6" t="s">
        <v>9</v>
      </c>
      <c r="E23" s="6" t="s">
        <v>45</v>
      </c>
      <c r="F23" s="2">
        <v>24</v>
      </c>
    </row>
    <row r="24" spans="3:6" ht="21" x14ac:dyDescent="0.5">
      <c r="C24" s="32" t="s">
        <v>26</v>
      </c>
      <c r="D24" s="32"/>
      <c r="E24" s="32"/>
      <c r="F24" s="7">
        <f>SUM(F23:F23)</f>
        <v>24</v>
      </c>
    </row>
    <row r="26" spans="3:6" ht="21" x14ac:dyDescent="0.35">
      <c r="C26" s="25" t="s">
        <v>46</v>
      </c>
      <c r="D26" s="26"/>
      <c r="E26" s="26"/>
      <c r="F26" s="27"/>
    </row>
    <row r="27" spans="3:6" ht="29" x14ac:dyDescent="0.35">
      <c r="C27" s="4" t="s">
        <v>18</v>
      </c>
      <c r="D27" s="5" t="s">
        <v>19</v>
      </c>
      <c r="E27" s="5" t="s">
        <v>20</v>
      </c>
      <c r="F27" s="5" t="s">
        <v>21</v>
      </c>
    </row>
    <row r="28" spans="3:6" ht="101.5" x14ac:dyDescent="0.35">
      <c r="C28" s="3">
        <v>1</v>
      </c>
      <c r="D28" s="6" t="s">
        <v>47</v>
      </c>
      <c r="E28" s="6" t="s">
        <v>48</v>
      </c>
      <c r="F28" s="2">
        <v>4</v>
      </c>
    </row>
    <row r="29" spans="3:6" ht="217.5" x14ac:dyDescent="0.35">
      <c r="C29" s="3">
        <v>2</v>
      </c>
      <c r="D29" s="6" t="s">
        <v>49</v>
      </c>
      <c r="E29" s="6" t="s">
        <v>50</v>
      </c>
      <c r="F29" s="2">
        <v>4</v>
      </c>
    </row>
    <row r="30" spans="3:6" ht="21" x14ac:dyDescent="0.5">
      <c r="C30" s="28" t="s">
        <v>26</v>
      </c>
      <c r="D30" s="29"/>
      <c r="E30" s="30"/>
      <c r="F30" s="7">
        <f>SUM(F28:F29)</f>
        <v>8</v>
      </c>
    </row>
    <row r="32" spans="3:6" ht="21" x14ac:dyDescent="0.35">
      <c r="C32" s="25" t="s">
        <v>13</v>
      </c>
      <c r="D32" s="26"/>
      <c r="E32" s="26"/>
      <c r="F32" s="27"/>
    </row>
    <row r="33" spans="3:6" ht="29" x14ac:dyDescent="0.35">
      <c r="C33" s="4" t="s">
        <v>18</v>
      </c>
      <c r="D33" s="5" t="s">
        <v>19</v>
      </c>
      <c r="E33" s="5" t="s">
        <v>20</v>
      </c>
      <c r="F33" s="5" t="s">
        <v>21</v>
      </c>
    </row>
    <row r="34" spans="3:6" ht="217.5" x14ac:dyDescent="0.35">
      <c r="C34" s="3">
        <v>1</v>
      </c>
      <c r="D34" s="6" t="s">
        <v>51</v>
      </c>
      <c r="E34" s="6" t="s">
        <v>52</v>
      </c>
      <c r="F34" s="2">
        <v>4</v>
      </c>
    </row>
    <row r="35" spans="3:6" ht="116" x14ac:dyDescent="0.35">
      <c r="C35" s="3">
        <v>2</v>
      </c>
      <c r="D35" s="6" t="s">
        <v>53</v>
      </c>
      <c r="E35" s="6" t="s">
        <v>54</v>
      </c>
      <c r="F35" s="2">
        <v>4</v>
      </c>
    </row>
    <row r="36" spans="3:6" ht="116" x14ac:dyDescent="0.35">
      <c r="C36" s="3">
        <v>3</v>
      </c>
      <c r="D36" s="6" t="s">
        <v>55</v>
      </c>
      <c r="E36" s="6" t="s">
        <v>56</v>
      </c>
      <c r="F36" s="2">
        <v>4</v>
      </c>
    </row>
    <row r="37" spans="3:6" ht="101.5" x14ac:dyDescent="0.35">
      <c r="C37" s="3">
        <v>4</v>
      </c>
      <c r="D37" s="6" t="s">
        <v>57</v>
      </c>
      <c r="E37" s="6" t="s">
        <v>58</v>
      </c>
      <c r="F37" s="2">
        <v>4</v>
      </c>
    </row>
    <row r="38" spans="3:6" ht="58" x14ac:dyDescent="0.35">
      <c r="C38" s="3">
        <v>5</v>
      </c>
      <c r="D38" s="6" t="s">
        <v>59</v>
      </c>
      <c r="E38" s="6" t="s">
        <v>60</v>
      </c>
      <c r="F38" s="2">
        <v>4</v>
      </c>
    </row>
    <row r="39" spans="3:6" ht="145" x14ac:dyDescent="0.35">
      <c r="C39" s="3">
        <v>6</v>
      </c>
      <c r="D39" s="6" t="s">
        <v>61</v>
      </c>
      <c r="E39" s="6" t="s">
        <v>62</v>
      </c>
      <c r="F39" s="2">
        <v>4</v>
      </c>
    </row>
    <row r="40" spans="3:6" ht="101.5" x14ac:dyDescent="0.35">
      <c r="C40" s="3">
        <v>7</v>
      </c>
      <c r="D40" s="6" t="s">
        <v>63</v>
      </c>
      <c r="E40" s="6" t="s">
        <v>64</v>
      </c>
      <c r="F40" s="2">
        <v>4</v>
      </c>
    </row>
    <row r="41" spans="3:6" ht="101.5" x14ac:dyDescent="0.35">
      <c r="C41" s="3">
        <v>8</v>
      </c>
      <c r="D41" s="6" t="s">
        <v>63</v>
      </c>
      <c r="E41" s="6" t="s">
        <v>65</v>
      </c>
      <c r="F41" s="2">
        <v>4</v>
      </c>
    </row>
    <row r="42" spans="3:6" ht="145" x14ac:dyDescent="0.35">
      <c r="C42" s="3">
        <v>9</v>
      </c>
      <c r="D42" s="6" t="s">
        <v>66</v>
      </c>
      <c r="E42" s="6" t="s">
        <v>67</v>
      </c>
      <c r="F42" s="2">
        <v>4</v>
      </c>
    </row>
    <row r="43" spans="3:6" ht="130.5" x14ac:dyDescent="0.35">
      <c r="C43" s="3">
        <v>10</v>
      </c>
      <c r="D43" s="6" t="s">
        <v>68</v>
      </c>
      <c r="E43" s="6" t="s">
        <v>69</v>
      </c>
      <c r="F43" s="2">
        <v>4</v>
      </c>
    </row>
    <row r="44" spans="3:6" ht="87" x14ac:dyDescent="0.35">
      <c r="C44" s="3">
        <v>11</v>
      </c>
      <c r="D44" s="6" t="s">
        <v>70</v>
      </c>
      <c r="E44" s="6" t="s">
        <v>71</v>
      </c>
      <c r="F44" s="2">
        <v>4</v>
      </c>
    </row>
    <row r="45" spans="3:6" ht="101.5" x14ac:dyDescent="0.35">
      <c r="C45" s="3">
        <v>12</v>
      </c>
      <c r="D45" s="6" t="s">
        <v>72</v>
      </c>
      <c r="E45" s="6" t="s">
        <v>73</v>
      </c>
      <c r="F45" s="2">
        <v>4</v>
      </c>
    </row>
    <row r="46" spans="3:6" ht="101.5" x14ac:dyDescent="0.35">
      <c r="C46" s="3">
        <v>13</v>
      </c>
      <c r="D46" s="6" t="s">
        <v>72</v>
      </c>
      <c r="E46" s="6" t="s">
        <v>74</v>
      </c>
      <c r="F46" s="2">
        <v>4</v>
      </c>
    </row>
    <row r="47" spans="3:6" ht="87" x14ac:dyDescent="0.35">
      <c r="C47" s="3">
        <v>14</v>
      </c>
      <c r="D47" s="6" t="s">
        <v>75</v>
      </c>
      <c r="E47" s="6" t="s">
        <v>76</v>
      </c>
      <c r="F47" s="2">
        <v>4</v>
      </c>
    </row>
    <row r="48" spans="3:6" ht="188.5" x14ac:dyDescent="0.35">
      <c r="C48" s="3">
        <v>15</v>
      </c>
      <c r="D48" s="6" t="s">
        <v>77</v>
      </c>
      <c r="E48" s="6" t="s">
        <v>78</v>
      </c>
      <c r="F48" s="2">
        <v>4</v>
      </c>
    </row>
    <row r="49" spans="3:6" ht="101.5" x14ac:dyDescent="0.35">
      <c r="C49" s="3">
        <v>16</v>
      </c>
      <c r="D49" s="6" t="s">
        <v>79</v>
      </c>
      <c r="E49" s="6" t="s">
        <v>80</v>
      </c>
      <c r="F49" s="2">
        <v>4</v>
      </c>
    </row>
    <row r="50" spans="3:6" ht="232" x14ac:dyDescent="0.35">
      <c r="C50" s="3">
        <v>17</v>
      </c>
      <c r="D50" s="6" t="s">
        <v>81</v>
      </c>
      <c r="E50" s="6" t="s">
        <v>82</v>
      </c>
      <c r="F50" s="2">
        <v>4</v>
      </c>
    </row>
    <row r="51" spans="3:6" ht="275.5" x14ac:dyDescent="0.35">
      <c r="C51" s="3">
        <v>18</v>
      </c>
      <c r="D51" s="6" t="s">
        <v>83</v>
      </c>
      <c r="E51" s="6" t="s">
        <v>84</v>
      </c>
      <c r="F51" s="2">
        <v>4</v>
      </c>
    </row>
    <row r="52" spans="3:6" ht="21" x14ac:dyDescent="0.5">
      <c r="C52" s="28" t="s">
        <v>26</v>
      </c>
      <c r="D52" s="29"/>
      <c r="E52" s="30"/>
      <c r="F52" s="7">
        <f>SUM(F34:F51)</f>
        <v>72</v>
      </c>
    </row>
    <row r="54" spans="3:6" ht="21" x14ac:dyDescent="0.35">
      <c r="C54" s="25" t="s">
        <v>0</v>
      </c>
      <c r="D54" s="26"/>
      <c r="E54" s="26"/>
      <c r="F54" s="27"/>
    </row>
    <row r="55" spans="3:6" ht="29" x14ac:dyDescent="0.35">
      <c r="C55" s="4" t="s">
        <v>18</v>
      </c>
      <c r="D55" s="5" t="s">
        <v>19</v>
      </c>
      <c r="E55" s="5" t="s">
        <v>20</v>
      </c>
      <c r="F55" s="5" t="s">
        <v>21</v>
      </c>
    </row>
    <row r="56" spans="3:6" ht="43.5" x14ac:dyDescent="0.35">
      <c r="C56" s="3">
        <v>1</v>
      </c>
      <c r="D56" s="6" t="s">
        <v>85</v>
      </c>
      <c r="E56" s="6" t="s">
        <v>86</v>
      </c>
      <c r="F56" s="2">
        <v>4</v>
      </c>
    </row>
    <row r="57" spans="3:6" ht="58" x14ac:dyDescent="0.35">
      <c r="C57" s="3">
        <v>2</v>
      </c>
      <c r="D57" s="6" t="s">
        <v>87</v>
      </c>
      <c r="E57" s="6" t="s">
        <v>88</v>
      </c>
      <c r="F57" s="2">
        <v>8</v>
      </c>
    </row>
    <row r="58" spans="3:6" ht="72.5" x14ac:dyDescent="0.35">
      <c r="C58" s="3">
        <v>3</v>
      </c>
      <c r="D58" s="6" t="s">
        <v>89</v>
      </c>
      <c r="E58" s="6" t="s">
        <v>90</v>
      </c>
      <c r="F58" s="2">
        <v>8</v>
      </c>
    </row>
    <row r="59" spans="3:6" ht="29" x14ac:dyDescent="0.35">
      <c r="C59" s="3">
        <v>4</v>
      </c>
      <c r="D59" s="6" t="s">
        <v>91</v>
      </c>
      <c r="E59" s="6" t="s">
        <v>92</v>
      </c>
      <c r="F59" s="2">
        <v>4</v>
      </c>
    </row>
    <row r="60" spans="3:6" ht="29" x14ac:dyDescent="0.35">
      <c r="C60" s="3">
        <v>5</v>
      </c>
      <c r="D60" s="6" t="s">
        <v>93</v>
      </c>
      <c r="E60" s="6" t="s">
        <v>94</v>
      </c>
      <c r="F60" s="2">
        <v>4</v>
      </c>
    </row>
    <row r="61" spans="3:6" ht="29" x14ac:dyDescent="0.35">
      <c r="C61" s="3">
        <v>6</v>
      </c>
      <c r="D61" s="6" t="s">
        <v>95</v>
      </c>
      <c r="E61" s="6" t="s">
        <v>96</v>
      </c>
      <c r="F61" s="2">
        <v>4</v>
      </c>
    </row>
    <row r="62" spans="3:6" ht="29" x14ac:dyDescent="0.35">
      <c r="C62" s="3">
        <v>7</v>
      </c>
      <c r="D62" s="6" t="s">
        <v>97</v>
      </c>
      <c r="E62" s="6" t="s">
        <v>98</v>
      </c>
      <c r="F62" s="2">
        <v>4</v>
      </c>
    </row>
    <row r="63" spans="3:6" ht="29" x14ac:dyDescent="0.35">
      <c r="C63" s="3">
        <v>8</v>
      </c>
      <c r="D63" s="6" t="s">
        <v>99</v>
      </c>
      <c r="E63" s="6" t="s">
        <v>100</v>
      </c>
      <c r="F63" s="2">
        <v>4</v>
      </c>
    </row>
    <row r="64" spans="3:6" ht="43.5" x14ac:dyDescent="0.35">
      <c r="C64" s="3">
        <v>9</v>
      </c>
      <c r="D64" s="6" t="s">
        <v>101</v>
      </c>
      <c r="E64" s="6" t="s">
        <v>102</v>
      </c>
      <c r="F64" s="2">
        <v>4</v>
      </c>
    </row>
    <row r="65" spans="3:6" ht="29" x14ac:dyDescent="0.35">
      <c r="C65" s="3">
        <v>10</v>
      </c>
      <c r="D65" s="6" t="s">
        <v>103</v>
      </c>
      <c r="E65" s="6" t="s">
        <v>104</v>
      </c>
      <c r="F65" s="2">
        <v>4</v>
      </c>
    </row>
    <row r="66" spans="3:6" ht="29" x14ac:dyDescent="0.35">
      <c r="C66" s="3">
        <v>11</v>
      </c>
      <c r="D66" s="6" t="s">
        <v>105</v>
      </c>
      <c r="E66" s="6" t="s">
        <v>106</v>
      </c>
      <c r="F66" s="2">
        <v>4</v>
      </c>
    </row>
    <row r="67" spans="3:6" ht="43.5" x14ac:dyDescent="0.35">
      <c r="C67" s="3">
        <v>12</v>
      </c>
      <c r="D67" s="6" t="s">
        <v>107</v>
      </c>
      <c r="E67" s="6" t="s">
        <v>108</v>
      </c>
      <c r="F67" s="2">
        <v>4</v>
      </c>
    </row>
    <row r="68" spans="3:6" ht="29" x14ac:dyDescent="0.35">
      <c r="C68" s="3">
        <v>13</v>
      </c>
      <c r="D68" s="6" t="s">
        <v>109</v>
      </c>
      <c r="E68" s="6" t="s">
        <v>110</v>
      </c>
      <c r="F68" s="2">
        <v>4</v>
      </c>
    </row>
    <row r="69" spans="3:6" ht="21" x14ac:dyDescent="0.5">
      <c r="C69" s="28" t="s">
        <v>26</v>
      </c>
      <c r="D69" s="29"/>
      <c r="E69" s="30"/>
      <c r="F69" s="7">
        <f>SUM(F56:F68)</f>
        <v>60</v>
      </c>
    </row>
  </sheetData>
  <mergeCells count="12">
    <mergeCell ref="C2:F2"/>
    <mergeCell ref="C6:E6"/>
    <mergeCell ref="C54:F54"/>
    <mergeCell ref="C69:E69"/>
    <mergeCell ref="C8:F8"/>
    <mergeCell ref="C19:E19"/>
    <mergeCell ref="C26:F26"/>
    <mergeCell ref="C30:E30"/>
    <mergeCell ref="C32:F32"/>
    <mergeCell ref="C52:E52"/>
    <mergeCell ref="C21:F21"/>
    <mergeCell ref="C24:E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9B01D-DBF8-49BD-9978-24317E19BBED}">
  <dimension ref="C2:F28"/>
  <sheetViews>
    <sheetView topLeftCell="A18" workbookViewId="0">
      <selection activeCell="G4" sqref="G4"/>
    </sheetView>
  </sheetViews>
  <sheetFormatPr defaultRowHeight="14.5" x14ac:dyDescent="0.35"/>
  <cols>
    <col min="3" max="3" width="4.7265625" customWidth="1"/>
    <col min="4" max="4" width="13.26953125" customWidth="1"/>
    <col min="5" max="5" width="49.7265625" customWidth="1"/>
  </cols>
  <sheetData>
    <row r="2" spans="3:6" ht="21" x14ac:dyDescent="0.35">
      <c r="C2" s="25" t="s">
        <v>46</v>
      </c>
      <c r="D2" s="26"/>
      <c r="E2" s="26"/>
      <c r="F2" s="27"/>
    </row>
    <row r="3" spans="3:6" ht="29" x14ac:dyDescent="0.35">
      <c r="C3" s="4" t="s">
        <v>18</v>
      </c>
      <c r="D3" s="5" t="s">
        <v>19</v>
      </c>
      <c r="E3" s="5" t="s">
        <v>20</v>
      </c>
      <c r="F3" s="5" t="s">
        <v>21</v>
      </c>
    </row>
    <row r="4" spans="3:6" ht="101.5" x14ac:dyDescent="0.35">
      <c r="C4" s="3">
        <v>1</v>
      </c>
      <c r="D4" s="6" t="s">
        <v>47</v>
      </c>
      <c r="E4" s="6" t="s">
        <v>48</v>
      </c>
      <c r="F4" s="2">
        <v>6</v>
      </c>
    </row>
    <row r="5" spans="3:6" ht="217.5" x14ac:dyDescent="0.35">
      <c r="C5" s="3">
        <v>2</v>
      </c>
      <c r="D5" s="6" t="s">
        <v>49</v>
      </c>
      <c r="E5" s="6" t="s">
        <v>50</v>
      </c>
      <c r="F5" s="2">
        <v>6</v>
      </c>
    </row>
    <row r="6" spans="3:6" ht="21" x14ac:dyDescent="0.5">
      <c r="C6" s="28" t="s">
        <v>26</v>
      </c>
      <c r="D6" s="29"/>
      <c r="E6" s="30"/>
      <c r="F6" s="7">
        <f>SUM(F4:F5)</f>
        <v>12</v>
      </c>
    </row>
    <row r="8" spans="3:6" ht="21" x14ac:dyDescent="0.35">
      <c r="C8" s="25" t="s">
        <v>13</v>
      </c>
      <c r="D8" s="26"/>
      <c r="E8" s="26"/>
      <c r="F8" s="27"/>
    </row>
    <row r="9" spans="3:6" ht="29" x14ac:dyDescent="0.35">
      <c r="C9" s="4" t="s">
        <v>18</v>
      </c>
      <c r="D9" s="5" t="s">
        <v>19</v>
      </c>
      <c r="E9" s="5" t="s">
        <v>20</v>
      </c>
      <c r="F9" s="5" t="s">
        <v>21</v>
      </c>
    </row>
    <row r="10" spans="3:6" ht="217.5" x14ac:dyDescent="0.35">
      <c r="C10" s="3">
        <v>1</v>
      </c>
      <c r="D10" s="6" t="s">
        <v>51</v>
      </c>
      <c r="E10" s="6" t="s">
        <v>52</v>
      </c>
      <c r="F10" s="2">
        <v>4</v>
      </c>
    </row>
    <row r="11" spans="3:6" ht="116" x14ac:dyDescent="0.35">
      <c r="C11" s="3">
        <v>2</v>
      </c>
      <c r="D11" s="6" t="s">
        <v>53</v>
      </c>
      <c r="E11" s="6" t="s">
        <v>54</v>
      </c>
      <c r="F11" s="2">
        <v>4</v>
      </c>
    </row>
    <row r="12" spans="3:6" ht="116" x14ac:dyDescent="0.35">
      <c r="C12" s="3">
        <v>3</v>
      </c>
      <c r="D12" s="6" t="s">
        <v>55</v>
      </c>
      <c r="E12" s="6" t="s">
        <v>56</v>
      </c>
      <c r="F12" s="2">
        <v>4</v>
      </c>
    </row>
    <row r="13" spans="3:6" ht="101.5" x14ac:dyDescent="0.35">
      <c r="C13" s="3">
        <v>4</v>
      </c>
      <c r="D13" s="6" t="s">
        <v>57</v>
      </c>
      <c r="E13" s="6" t="s">
        <v>58</v>
      </c>
      <c r="F13" s="2">
        <v>4</v>
      </c>
    </row>
    <row r="14" spans="3:6" ht="58" x14ac:dyDescent="0.35">
      <c r="C14" s="3">
        <v>5</v>
      </c>
      <c r="D14" s="6" t="s">
        <v>59</v>
      </c>
      <c r="E14" s="6" t="s">
        <v>60</v>
      </c>
      <c r="F14" s="2">
        <v>4</v>
      </c>
    </row>
    <row r="15" spans="3:6" ht="145" x14ac:dyDescent="0.35">
      <c r="C15" s="3">
        <v>6</v>
      </c>
      <c r="D15" s="6" t="s">
        <v>61</v>
      </c>
      <c r="E15" s="6" t="s">
        <v>62</v>
      </c>
      <c r="F15" s="2">
        <v>4</v>
      </c>
    </row>
    <row r="16" spans="3:6" ht="101.5" x14ac:dyDescent="0.35">
      <c r="C16" s="3">
        <v>7</v>
      </c>
      <c r="D16" s="6" t="s">
        <v>63</v>
      </c>
      <c r="E16" s="6" t="s">
        <v>64</v>
      </c>
      <c r="F16" s="2">
        <v>4</v>
      </c>
    </row>
    <row r="17" spans="3:6" ht="101.5" x14ac:dyDescent="0.35">
      <c r="C17" s="3">
        <v>8</v>
      </c>
      <c r="D17" s="6" t="s">
        <v>63</v>
      </c>
      <c r="E17" s="6" t="s">
        <v>65</v>
      </c>
      <c r="F17" s="2">
        <v>4</v>
      </c>
    </row>
    <row r="18" spans="3:6" ht="145" x14ac:dyDescent="0.35">
      <c r="C18" s="3">
        <v>9</v>
      </c>
      <c r="D18" s="6" t="s">
        <v>66</v>
      </c>
      <c r="E18" s="6" t="s">
        <v>67</v>
      </c>
      <c r="F18" s="2">
        <v>4</v>
      </c>
    </row>
    <row r="19" spans="3:6" ht="130.5" x14ac:dyDescent="0.35">
      <c r="C19" s="3">
        <v>10</v>
      </c>
      <c r="D19" s="6" t="s">
        <v>68</v>
      </c>
      <c r="E19" s="6" t="s">
        <v>69</v>
      </c>
      <c r="F19" s="2">
        <v>4</v>
      </c>
    </row>
    <row r="20" spans="3:6" ht="87" x14ac:dyDescent="0.35">
      <c r="C20" s="3">
        <v>11</v>
      </c>
      <c r="D20" s="6" t="s">
        <v>70</v>
      </c>
      <c r="E20" s="6" t="s">
        <v>71</v>
      </c>
      <c r="F20" s="2">
        <v>4</v>
      </c>
    </row>
    <row r="21" spans="3:6" ht="101.5" x14ac:dyDescent="0.35">
      <c r="C21" s="3">
        <v>12</v>
      </c>
      <c r="D21" s="6" t="s">
        <v>72</v>
      </c>
      <c r="E21" s="6" t="s">
        <v>73</v>
      </c>
      <c r="F21" s="2">
        <v>4</v>
      </c>
    </row>
    <row r="22" spans="3:6" ht="101.5" x14ac:dyDescent="0.35">
      <c r="C22" s="3">
        <v>13</v>
      </c>
      <c r="D22" s="6" t="s">
        <v>72</v>
      </c>
      <c r="E22" s="6" t="s">
        <v>74</v>
      </c>
      <c r="F22" s="2">
        <v>4</v>
      </c>
    </row>
    <row r="23" spans="3:6" ht="87" x14ac:dyDescent="0.35">
      <c r="C23" s="3">
        <v>14</v>
      </c>
      <c r="D23" s="6" t="s">
        <v>75</v>
      </c>
      <c r="E23" s="6" t="s">
        <v>76</v>
      </c>
      <c r="F23" s="2">
        <v>4</v>
      </c>
    </row>
    <row r="24" spans="3:6" ht="188.5" x14ac:dyDescent="0.35">
      <c r="C24" s="3">
        <v>15</v>
      </c>
      <c r="D24" s="6" t="s">
        <v>77</v>
      </c>
      <c r="E24" s="6" t="s">
        <v>78</v>
      </c>
      <c r="F24" s="2">
        <v>4</v>
      </c>
    </row>
    <row r="25" spans="3:6" ht="101.5" x14ac:dyDescent="0.35">
      <c r="C25" s="3">
        <v>16</v>
      </c>
      <c r="D25" s="6" t="s">
        <v>79</v>
      </c>
      <c r="E25" s="6" t="s">
        <v>80</v>
      </c>
      <c r="F25" s="2">
        <v>4</v>
      </c>
    </row>
    <row r="26" spans="3:6" ht="232" x14ac:dyDescent="0.35">
      <c r="C26" s="3">
        <v>17</v>
      </c>
      <c r="D26" s="6" t="s">
        <v>81</v>
      </c>
      <c r="E26" s="6" t="s">
        <v>82</v>
      </c>
      <c r="F26" s="2">
        <v>4</v>
      </c>
    </row>
    <row r="27" spans="3:6" ht="275.5" x14ac:dyDescent="0.35">
      <c r="C27" s="3">
        <v>18</v>
      </c>
      <c r="D27" s="6" t="s">
        <v>83</v>
      </c>
      <c r="E27" s="6" t="s">
        <v>84</v>
      </c>
      <c r="F27" s="2">
        <v>4</v>
      </c>
    </row>
    <row r="28" spans="3:6" ht="21" x14ac:dyDescent="0.5">
      <c r="C28" s="28" t="s">
        <v>26</v>
      </c>
      <c r="D28" s="29"/>
      <c r="E28" s="30"/>
      <c r="F28" s="7">
        <f>SUM(F10:F27)</f>
        <v>72</v>
      </c>
    </row>
  </sheetData>
  <mergeCells count="4">
    <mergeCell ref="C2:F2"/>
    <mergeCell ref="C6:E6"/>
    <mergeCell ref="C8:F8"/>
    <mergeCell ref="C28:E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17D5B-38BF-485A-BFF6-4D5E2ECAB4C6}">
  <dimension ref="C2:J27"/>
  <sheetViews>
    <sheetView tabSelected="1" topLeftCell="A20" workbookViewId="0">
      <selection activeCell="H26" sqref="H26"/>
    </sheetView>
  </sheetViews>
  <sheetFormatPr defaultRowHeight="14.5" x14ac:dyDescent="0.35"/>
  <cols>
    <col min="3" max="3" width="4.7265625" customWidth="1"/>
    <col min="4" max="4" width="13.26953125" customWidth="1"/>
    <col min="5" max="5" width="49.7265625" customWidth="1"/>
    <col min="7" max="7" width="51.26953125" customWidth="1"/>
  </cols>
  <sheetData>
    <row r="2" spans="3:10" ht="21" x14ac:dyDescent="0.35">
      <c r="C2" s="25" t="s">
        <v>15</v>
      </c>
      <c r="D2" s="26"/>
      <c r="E2" s="26"/>
      <c r="F2" s="27"/>
    </row>
    <row r="3" spans="3:10" ht="29" x14ac:dyDescent="0.35">
      <c r="C3" s="4" t="s">
        <v>18</v>
      </c>
      <c r="D3" s="5" t="s">
        <v>19</v>
      </c>
      <c r="E3" s="5" t="s">
        <v>20</v>
      </c>
      <c r="F3" s="5" t="s">
        <v>21</v>
      </c>
    </row>
    <row r="4" spans="3:10" ht="232" x14ac:dyDescent="0.35">
      <c r="C4" s="3">
        <v>1</v>
      </c>
      <c r="D4" s="6" t="s">
        <v>111</v>
      </c>
      <c r="E4" s="6" t="s">
        <v>112</v>
      </c>
      <c r="F4" s="2">
        <v>18</v>
      </c>
    </row>
    <row r="5" spans="3:10" ht="21" x14ac:dyDescent="0.5">
      <c r="C5" s="28" t="s">
        <v>26</v>
      </c>
      <c r="D5" s="29"/>
      <c r="E5" s="30"/>
      <c r="F5" s="7">
        <f>SUM(F4:F4)</f>
        <v>18</v>
      </c>
    </row>
    <row r="7" spans="3:10" ht="21" x14ac:dyDescent="0.35">
      <c r="C7" s="25" t="s">
        <v>113</v>
      </c>
      <c r="D7" s="26"/>
      <c r="E7" s="26"/>
      <c r="F7" s="27"/>
    </row>
    <row r="8" spans="3:10" ht="29" x14ac:dyDescent="0.35">
      <c r="C8" s="4" t="s">
        <v>18</v>
      </c>
      <c r="D8" s="5" t="s">
        <v>19</v>
      </c>
      <c r="E8" s="5" t="s">
        <v>20</v>
      </c>
      <c r="F8" s="5" t="s">
        <v>21</v>
      </c>
    </row>
    <row r="9" spans="3:10" ht="232" x14ac:dyDescent="0.35">
      <c r="C9" s="3">
        <v>1</v>
      </c>
      <c r="D9" s="6" t="s">
        <v>113</v>
      </c>
      <c r="E9" s="6" t="s">
        <v>112</v>
      </c>
      <c r="F9" s="2">
        <v>12</v>
      </c>
    </row>
    <row r="10" spans="3:10" ht="21" x14ac:dyDescent="0.5">
      <c r="C10" s="28" t="s">
        <v>26</v>
      </c>
      <c r="D10" s="29"/>
      <c r="E10" s="30"/>
      <c r="F10" s="7">
        <f>SUM(F9:F9)</f>
        <v>12</v>
      </c>
    </row>
    <row r="12" spans="3:10" ht="21" x14ac:dyDescent="0.35">
      <c r="C12" s="25" t="s">
        <v>0</v>
      </c>
      <c r="D12" s="26"/>
      <c r="E12" s="26"/>
      <c r="F12" s="27"/>
      <c r="G12" s="25" t="s">
        <v>114</v>
      </c>
      <c r="H12" s="26"/>
      <c r="I12" s="26"/>
      <c r="J12" s="27"/>
    </row>
    <row r="13" spans="3:10" ht="29" x14ac:dyDescent="0.35">
      <c r="C13" s="4" t="s">
        <v>18</v>
      </c>
      <c r="D13" s="5" t="s">
        <v>19</v>
      </c>
      <c r="E13" s="5" t="s">
        <v>20</v>
      </c>
      <c r="F13" s="5" t="s">
        <v>21</v>
      </c>
      <c r="G13" s="17"/>
    </row>
    <row r="14" spans="3:10" ht="43.5" x14ac:dyDescent="0.35">
      <c r="C14" s="14">
        <v>1</v>
      </c>
      <c r="D14" s="15" t="s">
        <v>85</v>
      </c>
      <c r="E14" s="15" t="s">
        <v>86</v>
      </c>
      <c r="F14" s="16">
        <v>6</v>
      </c>
      <c r="G14" s="17"/>
    </row>
    <row r="15" spans="3:10" ht="58" x14ac:dyDescent="0.35">
      <c r="C15" s="3">
        <v>2</v>
      </c>
      <c r="D15" s="6" t="s">
        <v>87</v>
      </c>
      <c r="E15" s="6" t="s">
        <v>88</v>
      </c>
      <c r="F15" s="2">
        <v>8</v>
      </c>
      <c r="G15" s="17"/>
    </row>
    <row r="16" spans="3:10" ht="72.5" x14ac:dyDescent="0.35">
      <c r="C16" s="3">
        <v>3</v>
      </c>
      <c r="D16" s="6" t="s">
        <v>89</v>
      </c>
      <c r="E16" s="6" t="s">
        <v>90</v>
      </c>
      <c r="F16" s="2">
        <v>8</v>
      </c>
      <c r="G16" s="17" t="s">
        <v>115</v>
      </c>
    </row>
    <row r="17" spans="3:7" ht="29" x14ac:dyDescent="0.35">
      <c r="C17" s="3">
        <v>4</v>
      </c>
      <c r="D17" s="6" t="s">
        <v>91</v>
      </c>
      <c r="E17" s="6" t="s">
        <v>92</v>
      </c>
      <c r="F17" s="2">
        <v>4</v>
      </c>
      <c r="G17" s="34">
        <v>45793</v>
      </c>
    </row>
    <row r="18" spans="3:7" ht="29" x14ac:dyDescent="0.35">
      <c r="C18" s="3">
        <v>5</v>
      </c>
      <c r="D18" s="6" t="s">
        <v>93</v>
      </c>
      <c r="E18" s="6" t="s">
        <v>94</v>
      </c>
      <c r="F18" s="2">
        <v>4</v>
      </c>
      <c r="G18" s="34">
        <v>45793</v>
      </c>
    </row>
    <row r="19" spans="3:7" ht="29" x14ac:dyDescent="0.35">
      <c r="C19" s="3">
        <v>6</v>
      </c>
      <c r="D19" s="6" t="s">
        <v>95</v>
      </c>
      <c r="E19" s="6" t="s">
        <v>96</v>
      </c>
      <c r="F19" s="2">
        <v>6</v>
      </c>
      <c r="G19" s="33" t="s">
        <v>117</v>
      </c>
    </row>
    <row r="20" spans="3:7" ht="29" x14ac:dyDescent="0.35">
      <c r="C20" s="3">
        <v>7</v>
      </c>
      <c r="D20" s="6" t="s">
        <v>97</v>
      </c>
      <c r="E20" s="6" t="s">
        <v>98</v>
      </c>
      <c r="F20" s="2">
        <v>4</v>
      </c>
      <c r="G20" s="34">
        <v>45794</v>
      </c>
    </row>
    <row r="21" spans="3:7" ht="29" x14ac:dyDescent="0.35">
      <c r="C21" s="3">
        <v>8</v>
      </c>
      <c r="D21" s="6" t="s">
        <v>99</v>
      </c>
      <c r="E21" s="6" t="s">
        <v>100</v>
      </c>
      <c r="F21" s="2">
        <v>4</v>
      </c>
      <c r="G21" s="34">
        <v>45794</v>
      </c>
    </row>
    <row r="22" spans="3:7" ht="43.5" x14ac:dyDescent="0.35">
      <c r="C22" s="3">
        <v>9</v>
      </c>
      <c r="D22" s="6" t="s">
        <v>101</v>
      </c>
      <c r="E22" s="6" t="s">
        <v>102</v>
      </c>
      <c r="F22" s="2">
        <v>4</v>
      </c>
      <c r="G22" s="17"/>
    </row>
    <row r="23" spans="3:7" ht="29" x14ac:dyDescent="0.35">
      <c r="C23" s="3">
        <v>10</v>
      </c>
      <c r="D23" s="6" t="s">
        <v>103</v>
      </c>
      <c r="E23" s="6" t="s">
        <v>104</v>
      </c>
      <c r="F23" s="2">
        <v>4</v>
      </c>
      <c r="G23" s="17"/>
    </row>
    <row r="24" spans="3:7" ht="29" x14ac:dyDescent="0.35">
      <c r="C24" s="3">
        <v>11</v>
      </c>
      <c r="D24" s="6" t="s">
        <v>105</v>
      </c>
      <c r="E24" s="6" t="s">
        <v>106</v>
      </c>
      <c r="F24" s="2">
        <v>4</v>
      </c>
      <c r="G24" s="17"/>
    </row>
    <row r="25" spans="3:7" ht="43.5" x14ac:dyDescent="0.35">
      <c r="C25" s="3">
        <v>12</v>
      </c>
      <c r="D25" s="6" t="s">
        <v>107</v>
      </c>
      <c r="E25" s="6" t="s">
        <v>108</v>
      </c>
      <c r="F25" s="2">
        <v>6</v>
      </c>
      <c r="G25" s="17"/>
    </row>
    <row r="26" spans="3:7" ht="29" x14ac:dyDescent="0.35">
      <c r="C26" s="3">
        <v>13</v>
      </c>
      <c r="D26" s="6" t="s">
        <v>109</v>
      </c>
      <c r="E26" s="6" t="s">
        <v>110</v>
      </c>
      <c r="F26" s="2">
        <v>4</v>
      </c>
      <c r="G26" s="17" t="s">
        <v>116</v>
      </c>
    </row>
    <row r="27" spans="3:7" ht="21" x14ac:dyDescent="0.5">
      <c r="C27" s="28" t="s">
        <v>26</v>
      </c>
      <c r="D27" s="29"/>
      <c r="E27" s="30"/>
      <c r="F27" s="7">
        <f>SUM(F14:F26)</f>
        <v>66</v>
      </c>
      <c r="G27" s="17"/>
    </row>
  </sheetData>
  <mergeCells count="7">
    <mergeCell ref="G12:J12"/>
    <mergeCell ref="C2:F2"/>
    <mergeCell ref="C12:F12"/>
    <mergeCell ref="C27:E27"/>
    <mergeCell ref="C5:E5"/>
    <mergeCell ref="C7:F7"/>
    <mergeCell ref="C10:E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ITE_TERM_3</vt:lpstr>
      <vt:lpstr>CRT_TERM_1</vt:lpstr>
      <vt:lpstr>CRT_TERM_2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Vijayaraghavan J</dc:creator>
  <cp:keywords/>
  <dc:description/>
  <cp:lastModifiedBy>Ashish Arora [External]</cp:lastModifiedBy>
  <cp:revision/>
  <dcterms:created xsi:type="dcterms:W3CDTF">2015-06-05T18:17:20Z</dcterms:created>
  <dcterms:modified xsi:type="dcterms:W3CDTF">2025-05-14T12:12:13Z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909b7b42-8177-427c-9b7b-7dbdd6b519c4</vt:lpwstr>
  </property>
  <property fmtid="{D5CDD505-2E9C-101B-9397-08002B2CF9AE}" pid="3" name="HCLClassD6">
    <vt:lpwstr>False</vt:lpwstr>
  </property>
  <property fmtid="{D5CDD505-2E9C-101B-9397-08002B2CF9AE}" pid="4" name="HCLClassification">
    <vt:lpwstr>HCL_Cla5s_1nt3rnal</vt:lpwstr>
  </property>
</Properties>
</file>